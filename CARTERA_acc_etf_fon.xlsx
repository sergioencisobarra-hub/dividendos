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4385"/>
  </bookViews>
  <sheets>
    <sheet name="CARTERA" sheetId="1" r:id="rId1"/>
    <sheet name="Hoja2" sheetId="2" r:id="rId2"/>
    <sheet name="Hoja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B8" i="1"/>
  <c r="B9" i="1"/>
  <c r="B10" i="1"/>
  <c r="B13" i="1"/>
  <c r="B16" i="1"/>
  <c r="D18" i="1"/>
  <c r="D19" i="1"/>
  <c r="D20" i="1"/>
  <c r="D21" i="1"/>
  <c r="D22" i="1"/>
  <c r="D27" i="1"/>
  <c r="D28" i="1"/>
  <c r="D29" i="1"/>
  <c r="D31" i="1"/>
  <c r="D32" i="1"/>
  <c r="B34" i="1"/>
  <c r="D36" i="1"/>
  <c r="D39" i="1"/>
  <c r="D40" i="1"/>
  <c r="D41" i="1"/>
  <c r="D42" i="1"/>
  <c r="D43" i="1"/>
  <c r="D45" i="1"/>
  <c r="D46" i="1"/>
  <c r="D48" i="1"/>
  <c r="D49" i="1"/>
  <c r="D50" i="1"/>
  <c r="D51" i="1"/>
  <c r="D55" i="1"/>
  <c r="D56" i="1"/>
  <c r="D57" i="1"/>
  <c r="D58" i="1"/>
</calcChain>
</file>

<file path=xl/sharedStrings.xml><?xml version="1.0" encoding="utf-8"?>
<sst xmlns="http://schemas.openxmlformats.org/spreadsheetml/2006/main" count="255" uniqueCount="137">
  <si>
    <t>EMPRESA</t>
  </si>
  <si>
    <t>JGPI</t>
  </si>
  <si>
    <t>JEQP</t>
  </si>
  <si>
    <t>JEIP</t>
  </si>
  <si>
    <t>NYSE:T</t>
  </si>
  <si>
    <t>AT&amp;T</t>
  </si>
  <si>
    <t>NYSE:VZ</t>
  </si>
  <si>
    <t>VERIZON</t>
  </si>
  <si>
    <t>NASDAQ:TROW</t>
  </si>
  <si>
    <t>T.ROWE PRICE GROUP</t>
  </si>
  <si>
    <t>nyse:NKE</t>
  </si>
  <si>
    <t>NIKE</t>
  </si>
  <si>
    <t>nyse:VFC</t>
  </si>
  <si>
    <t>VF CORPORATION</t>
  </si>
  <si>
    <t>nyse:mo</t>
  </si>
  <si>
    <t>ALTRIA</t>
  </si>
  <si>
    <t>NASDAQ:KHC</t>
  </si>
  <si>
    <t>KRAFT HEINZ</t>
  </si>
  <si>
    <t>NASDAQ:KMB</t>
  </si>
  <si>
    <t>KIMBERLY CLARK</t>
  </si>
  <si>
    <t>NYSE:DIS</t>
  </si>
  <si>
    <t>WALT DISNEY</t>
  </si>
  <si>
    <t>NYSE:PG</t>
  </si>
  <si>
    <t>P&amp;G</t>
  </si>
  <si>
    <t>NYSE:JNJ</t>
  </si>
  <si>
    <t>J&amp;J</t>
  </si>
  <si>
    <t>NASDAQ:AMZN</t>
  </si>
  <si>
    <t>AMAZON</t>
  </si>
  <si>
    <t>NASDAQ:MSFT</t>
  </si>
  <si>
    <t>MICROSOFT</t>
  </si>
  <si>
    <t>NASDAQ:GOOGL</t>
  </si>
  <si>
    <t>ALPHABET</t>
  </si>
  <si>
    <t>NASDAQ:CSCO</t>
  </si>
  <si>
    <t>CISCO</t>
  </si>
  <si>
    <t>NASDAQ:INTC</t>
  </si>
  <si>
    <t>INTEL</t>
  </si>
  <si>
    <t>NYSE:MDT</t>
  </si>
  <si>
    <t>MEDTRONIC</t>
  </si>
  <si>
    <t>NYSE:MRK</t>
  </si>
  <si>
    <t>MERCK &amp; COMPANY</t>
  </si>
  <si>
    <t>NYSE:O</t>
  </si>
  <si>
    <t>REALTY INCOME</t>
  </si>
  <si>
    <t>NYSE:BMY</t>
  </si>
  <si>
    <t>BMY</t>
  </si>
  <si>
    <t>NYSE:IBM</t>
  </si>
  <si>
    <t>IBM</t>
  </si>
  <si>
    <t>NYSE:XOM</t>
  </si>
  <si>
    <t>EXXON</t>
  </si>
  <si>
    <t>NYSE:MMM</t>
  </si>
  <si>
    <t>3M</t>
  </si>
  <si>
    <t>BME:SAN</t>
  </si>
  <si>
    <t>SANTANDER</t>
  </si>
  <si>
    <t>BME:LOG</t>
  </si>
  <si>
    <t>LOGISTA</t>
  </si>
  <si>
    <t>BME:EBRO</t>
  </si>
  <si>
    <t>EBRO</t>
  </si>
  <si>
    <t>BME:IBE</t>
  </si>
  <si>
    <t>IBERDROLA</t>
  </si>
  <si>
    <t>BME:AENA</t>
  </si>
  <si>
    <t>AENA</t>
  </si>
  <si>
    <t>epa:urw</t>
  </si>
  <si>
    <t>URW</t>
  </si>
  <si>
    <t>AMS:UNA</t>
  </si>
  <si>
    <t>UNILEVER</t>
  </si>
  <si>
    <t>NYSE:LYB</t>
  </si>
  <si>
    <t>LYONDELLBASELL</t>
  </si>
  <si>
    <t>NYSE:GIS</t>
  </si>
  <si>
    <t>GENERAL MILLS</t>
  </si>
  <si>
    <t>NASDAQ:PEP</t>
  </si>
  <si>
    <t>PEPSICO</t>
  </si>
  <si>
    <t>NYSE:PFE</t>
  </si>
  <si>
    <t>PFIZER</t>
  </si>
  <si>
    <t>ETR:SIE</t>
  </si>
  <si>
    <t>SIEMENS AG</t>
  </si>
  <si>
    <t>etr:MBG</t>
  </si>
  <si>
    <t>DAIMLER</t>
  </si>
  <si>
    <t>ETR:BMW</t>
  </si>
  <si>
    <t>BMW</t>
  </si>
  <si>
    <t>vie:BAYN</t>
  </si>
  <si>
    <t>BAYER</t>
  </si>
  <si>
    <t>vie:BAS</t>
  </si>
  <si>
    <t>BASF</t>
  </si>
  <si>
    <t>LON:shel</t>
  </si>
  <si>
    <t>SHELL</t>
  </si>
  <si>
    <t>LON:DGE</t>
  </si>
  <si>
    <t>DIAGEO</t>
  </si>
  <si>
    <t>LON:RKT</t>
  </si>
  <si>
    <t>RECKITT BENCKISER</t>
  </si>
  <si>
    <t>LON:GSK</t>
  </si>
  <si>
    <t>GLAXOSMITHKLINE</t>
  </si>
  <si>
    <t>LON:IMB</t>
  </si>
  <si>
    <t>IMPERIAL BRANDS</t>
  </si>
  <si>
    <t>LON:LGEN</t>
  </si>
  <si>
    <t>LEGAL &amp; GENERAL</t>
  </si>
  <si>
    <t>LON:ADM</t>
  </si>
  <si>
    <t>ADMIRAL GROUP</t>
  </si>
  <si>
    <t>LON:VOD</t>
  </si>
  <si>
    <t>VODAFONE</t>
  </si>
  <si>
    <t>LON:BATS</t>
  </si>
  <si>
    <t>BATS</t>
  </si>
  <si>
    <t>LON:NG</t>
  </si>
  <si>
    <t>NATIONAL GRID</t>
  </si>
  <si>
    <t>BME:VIS</t>
  </si>
  <si>
    <t>VISCOFAN</t>
  </si>
  <si>
    <t>BME:MFEA</t>
  </si>
  <si>
    <t>MFE MEDIA EUROPA</t>
  </si>
  <si>
    <t>BME:TRE</t>
  </si>
  <si>
    <t>TÉCNICAS REUNIDAS</t>
  </si>
  <si>
    <t>BME:RED</t>
  </si>
  <si>
    <t>REDEIA</t>
  </si>
  <si>
    <t>BME:ITX</t>
  </si>
  <si>
    <t>INDITEX</t>
  </si>
  <si>
    <t>BME:ENG</t>
  </si>
  <si>
    <t>ENAGÁS</t>
  </si>
  <si>
    <t>PRECIO COMPRA</t>
  </si>
  <si>
    <t>ACCIONES</t>
  </si>
  <si>
    <t>PRECIO TOTAL</t>
  </si>
  <si>
    <t>ETR:JEIP</t>
  </si>
  <si>
    <t>ETR:JGPI</t>
  </si>
  <si>
    <t>ETR:JEQP</t>
  </si>
  <si>
    <t>IDENTIFICADOR</t>
  </si>
  <si>
    <t>TIPO</t>
  </si>
  <si>
    <t>ETF</t>
  </si>
  <si>
    <t>LU1883854355</t>
  </si>
  <si>
    <t>LU0593848301</t>
  </si>
  <si>
    <t>LU0507266061</t>
  </si>
  <si>
    <t>LU0321371998</t>
  </si>
  <si>
    <t>FONDO</t>
  </si>
  <si>
    <t>ACCION</t>
  </si>
  <si>
    <t>AMUNDI</t>
  </si>
  <si>
    <t>MIRAE</t>
  </si>
  <si>
    <t>DWS</t>
  </si>
  <si>
    <t>SCHRODER</t>
  </si>
  <si>
    <t>DIVISA</t>
  </si>
  <si>
    <t>EUR</t>
  </si>
  <si>
    <t>GBP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</si>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</sst>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i/>
      <sz val="8"/>
      <name val="Calibri"/>
    </font>
    <font>
      <sz val="7"/>
      <name val="Calibri"/>
    </font>
    <font>
      <sz val="6"/>
      <name val="Calibri"/>
    </font>
    <font>
      <b/>
      <sz val="9"/>
      <name val="Calibri"/>
      <family val="2"/>
    </font>
    <font>
      <sz val="6"/>
      <name val="Calibri"/>
      <family val="2"/>
    </font>
    <font>
      <b/>
      <i/>
      <sz val="9"/>
      <name val="Calibri"/>
      <family val="2"/>
      <scheme val="minor"/>
    </font>
    <font>
      <sz val="7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9900"/>
      </patternFill>
    </fill>
    <fill>
      <patternFill patternType="solid">
        <fgColor theme="4" tint="0.79998168889431442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1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4" fontId="1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" fontId="1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TER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"/>
      <sheetName val="FONDOS"/>
      <sheetName val="DIV_ANUAL"/>
      <sheetName val="baggers"/>
      <sheetName val="DIVTOTAL"/>
      <sheetName val="SPIN-OFFS"/>
      <sheetName val="SPAIN"/>
      <sheetName val="USA"/>
      <sheetName val="UK"/>
      <sheetName val="EUROPE"/>
      <sheetName val="PUNTO DE MIRA"/>
      <sheetName val="BUY_EEUU"/>
      <sheetName val="BUY_EUROPE"/>
      <sheetName val="BUY_UK"/>
      <sheetName val="BUY_SPAIN"/>
      <sheetName val="COMPRAS"/>
      <sheetName val="RENTA"/>
      <sheetName val="Retenciones Aleman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7.56</v>
          </cell>
        </row>
        <row r="3">
          <cell r="H3">
            <v>25.684100000000001</v>
          </cell>
        </row>
        <row r="4">
          <cell r="H4">
            <v>1.82698</v>
          </cell>
        </row>
        <row r="7">
          <cell r="H7">
            <v>18.093900000000001</v>
          </cell>
        </row>
        <row r="8">
          <cell r="H8">
            <v>28.343299999999999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34" zoomScale="150" zoomScaleNormal="150" workbookViewId="0">
      <selection activeCell="G61" sqref="G61"/>
    </sheetView>
  </sheetViews>
  <sheetFormatPr baseColWidth="10" defaultRowHeight="15" x14ac:dyDescent="0.25"/>
  <cols>
    <col min="1" max="1" width="49.140625" bestFit="1" customWidth="1"/>
    <col min="2" max="2" width="14.85546875" bestFit="1" customWidth="1"/>
    <col min="3" max="3" width="9.42578125" bestFit="1" customWidth="1"/>
    <col min="4" max="4" width="12.85546875" bestFit="1" customWidth="1"/>
    <col min="5" max="5" width="12.85546875" customWidth="1"/>
    <col min="6" max="6" width="12.85546875" bestFit="1" customWidth="1"/>
  </cols>
  <sheetData>
    <row r="1" spans="1:7" x14ac:dyDescent="0.25">
      <c r="A1" s="20" t="s">
        <v>0</v>
      </c>
      <c r="B1" s="20" t="s">
        <v>114</v>
      </c>
      <c r="C1" s="20" t="s">
        <v>115</v>
      </c>
      <c r="D1" s="20" t="s">
        <v>116</v>
      </c>
      <c r="E1" s="20" t="s">
        <v>121</v>
      </c>
      <c r="F1" s="20" t="s">
        <v>120</v>
      </c>
      <c r="G1" s="20" t="s">
        <v>133</v>
      </c>
    </row>
    <row r="2" spans="1:7" x14ac:dyDescent="0.25">
      <c r="A2" s="11" t="s">
        <v>113</v>
      </c>
      <c r="B2" s="1">
        <v>19.89</v>
      </c>
      <c r="C2" s="2">
        <v>350</v>
      </c>
      <c r="D2" s="2">
        <f>(C2*B2)</f>
        <v>6961.5</v>
      </c>
      <c r="E2" s="21" t="s">
        <v>128</v>
      </c>
      <c r="F2" s="3" t="s">
        <v>112</v>
      </c>
      <c r="G2" s="21" t="s">
        <v>134</v>
      </c>
    </row>
    <row r="3" spans="1:7" x14ac:dyDescent="0.25">
      <c r="A3" s="11" t="s">
        <v>111</v>
      </c>
      <c r="B3" s="1">
        <v>24.55</v>
      </c>
      <c r="C3" s="2">
        <v>100</v>
      </c>
      <c r="D3" s="2">
        <f>(C3*B3)</f>
        <v>2455</v>
      </c>
      <c r="E3" s="21" t="s">
        <v>128</v>
      </c>
      <c r="F3" s="3" t="s">
        <v>110</v>
      </c>
      <c r="G3" s="21" t="s">
        <v>134</v>
      </c>
    </row>
    <row r="4" spans="1:7" x14ac:dyDescent="0.25">
      <c r="A4" s="11" t="s">
        <v>109</v>
      </c>
      <c r="B4" s="1">
        <v>15.756</v>
      </c>
      <c r="C4" s="2">
        <v>350</v>
      </c>
      <c r="D4" s="2">
        <f>B4*C4</f>
        <v>5514.6</v>
      </c>
      <c r="E4" s="21" t="s">
        <v>128</v>
      </c>
      <c r="F4" s="3" t="s">
        <v>108</v>
      </c>
      <c r="G4" s="21" t="s">
        <v>134</v>
      </c>
    </row>
    <row r="5" spans="1:7" x14ac:dyDescent="0.25">
      <c r="A5" s="12" t="s">
        <v>107</v>
      </c>
      <c r="B5" s="1">
        <v>25.51</v>
      </c>
      <c r="C5" s="2">
        <v>100</v>
      </c>
      <c r="D5" s="2">
        <f>B5*C5</f>
        <v>2551</v>
      </c>
      <c r="E5" s="21" t="s">
        <v>128</v>
      </c>
      <c r="F5" s="3" t="s">
        <v>106</v>
      </c>
      <c r="G5" s="21" t="s">
        <v>134</v>
      </c>
    </row>
    <row r="6" spans="1:7" x14ac:dyDescent="0.25">
      <c r="A6" s="12" t="s">
        <v>105</v>
      </c>
      <c r="B6" s="1">
        <v>6.77</v>
      </c>
      <c r="C6" s="2">
        <v>140</v>
      </c>
      <c r="D6" s="2">
        <f>B6*C6</f>
        <v>947.8</v>
      </c>
      <c r="E6" s="21" t="s">
        <v>128</v>
      </c>
      <c r="F6" s="3" t="s">
        <v>104</v>
      </c>
      <c r="G6" s="21" t="s">
        <v>134</v>
      </c>
    </row>
    <row r="7" spans="1:7" x14ac:dyDescent="0.25">
      <c r="A7" s="11" t="s">
        <v>103</v>
      </c>
      <c r="B7" s="1">
        <v>44.76</v>
      </c>
      <c r="C7" s="2">
        <v>30</v>
      </c>
      <c r="D7" s="2">
        <f>B7*C7</f>
        <v>1342.8</v>
      </c>
      <c r="E7" s="21" t="s">
        <v>128</v>
      </c>
      <c r="F7" s="3" t="s">
        <v>102</v>
      </c>
      <c r="G7" s="21" t="s">
        <v>134</v>
      </c>
    </row>
    <row r="8" spans="1:7" x14ac:dyDescent="0.25">
      <c r="A8" s="13" t="s">
        <v>101</v>
      </c>
      <c r="B8" s="4">
        <f>[1]UK!H2</f>
        <v>7.56</v>
      </c>
      <c r="C8" s="5">
        <v>290</v>
      </c>
      <c r="D8" s="6">
        <v>2351.21</v>
      </c>
      <c r="E8" s="21" t="s">
        <v>128</v>
      </c>
      <c r="F8" s="3" t="s">
        <v>100</v>
      </c>
      <c r="G8" s="21" t="s">
        <v>135</v>
      </c>
    </row>
    <row r="9" spans="1:7" x14ac:dyDescent="0.25">
      <c r="A9" s="13" t="s">
        <v>99</v>
      </c>
      <c r="B9" s="4">
        <f>[1]UK!H3</f>
        <v>25.684100000000001</v>
      </c>
      <c r="C9" s="5">
        <v>100</v>
      </c>
      <c r="D9" s="6">
        <v>2995.91</v>
      </c>
      <c r="E9" s="21" t="s">
        <v>128</v>
      </c>
      <c r="F9" s="3" t="s">
        <v>98</v>
      </c>
      <c r="G9" s="21" t="s">
        <v>135</v>
      </c>
    </row>
    <row r="10" spans="1:7" x14ac:dyDescent="0.25">
      <c r="A10" s="13" t="s">
        <v>97</v>
      </c>
      <c r="B10" s="4">
        <f>[1]UK!H4</f>
        <v>1.82698</v>
      </c>
      <c r="C10" s="5">
        <v>1000</v>
      </c>
      <c r="D10" s="6">
        <v>2083</v>
      </c>
      <c r="E10" s="21" t="s">
        <v>128</v>
      </c>
      <c r="F10" s="3" t="s">
        <v>96</v>
      </c>
      <c r="G10" s="21" t="s">
        <v>135</v>
      </c>
    </row>
    <row r="11" spans="1:7" x14ac:dyDescent="0.25">
      <c r="A11" s="13" t="s">
        <v>95</v>
      </c>
      <c r="B11" s="4">
        <v>20</v>
      </c>
      <c r="C11" s="5">
        <v>50</v>
      </c>
      <c r="D11" s="6">
        <v>1192</v>
      </c>
      <c r="E11" s="21" t="s">
        <v>128</v>
      </c>
      <c r="F11" s="3" t="s">
        <v>94</v>
      </c>
      <c r="G11" s="21" t="s">
        <v>135</v>
      </c>
    </row>
    <row r="12" spans="1:7" x14ac:dyDescent="0.25">
      <c r="A12" s="13" t="s">
        <v>93</v>
      </c>
      <c r="B12" s="4">
        <v>2.27</v>
      </c>
      <c r="C12" s="5">
        <v>500</v>
      </c>
      <c r="D12" s="6">
        <v>1318.78</v>
      </c>
      <c r="E12" s="21" t="s">
        <v>128</v>
      </c>
      <c r="F12" s="3" t="s">
        <v>92</v>
      </c>
      <c r="G12" s="21" t="s">
        <v>135</v>
      </c>
    </row>
    <row r="13" spans="1:7" x14ac:dyDescent="0.25">
      <c r="A13" s="13" t="s">
        <v>91</v>
      </c>
      <c r="B13" s="4">
        <f>[1]UK!H7</f>
        <v>18.093900000000001</v>
      </c>
      <c r="C13" s="5">
        <v>100</v>
      </c>
      <c r="D13" s="6">
        <v>2130.56</v>
      </c>
      <c r="E13" s="21" t="s">
        <v>128</v>
      </c>
      <c r="F13" s="3" t="s">
        <v>90</v>
      </c>
      <c r="G13" s="21" t="s">
        <v>135</v>
      </c>
    </row>
    <row r="14" spans="1:7" x14ac:dyDescent="0.25">
      <c r="A14" s="13" t="s">
        <v>89</v>
      </c>
      <c r="B14" s="4">
        <v>15.09</v>
      </c>
      <c r="C14" s="5">
        <v>100</v>
      </c>
      <c r="D14" s="6">
        <v>1508.88</v>
      </c>
      <c r="E14" s="21" t="s">
        <v>128</v>
      </c>
      <c r="F14" s="3" t="s">
        <v>88</v>
      </c>
      <c r="G14" s="21" t="s">
        <v>135</v>
      </c>
    </row>
    <row r="15" spans="1:7" x14ac:dyDescent="0.25">
      <c r="A15" s="13" t="s">
        <v>87</v>
      </c>
      <c r="B15" s="4">
        <v>54.42</v>
      </c>
      <c r="C15" s="5">
        <v>33</v>
      </c>
      <c r="D15" s="6">
        <v>2242.67</v>
      </c>
      <c r="E15" s="21" t="s">
        <v>128</v>
      </c>
      <c r="F15" s="3" t="s">
        <v>86</v>
      </c>
      <c r="G15" s="21" t="s">
        <v>135</v>
      </c>
    </row>
    <row r="16" spans="1:7" x14ac:dyDescent="0.25">
      <c r="A16" s="13" t="s">
        <v>85</v>
      </c>
      <c r="B16" s="4">
        <f>[1]UK!H8</f>
        <v>28.343299999999999</v>
      </c>
      <c r="C16" s="5">
        <v>100</v>
      </c>
      <c r="D16" s="6">
        <v>3353.15</v>
      </c>
      <c r="E16" s="21" t="s">
        <v>128</v>
      </c>
      <c r="F16" s="3" t="s">
        <v>84</v>
      </c>
      <c r="G16" s="21" t="s">
        <v>135</v>
      </c>
    </row>
    <row r="17" spans="1:7" x14ac:dyDescent="0.25">
      <c r="A17" s="13" t="s">
        <v>83</v>
      </c>
      <c r="B17" s="4">
        <v>11.08</v>
      </c>
      <c r="C17" s="5">
        <v>100</v>
      </c>
      <c r="D17" s="6">
        <v>1108.3900000000001</v>
      </c>
      <c r="E17" s="21" t="s">
        <v>128</v>
      </c>
      <c r="F17" s="3" t="s">
        <v>82</v>
      </c>
      <c r="G17" s="21" t="s">
        <v>135</v>
      </c>
    </row>
    <row r="18" spans="1:7" x14ac:dyDescent="0.25">
      <c r="A18" s="14" t="s">
        <v>81</v>
      </c>
      <c r="B18" s="4">
        <v>59.6</v>
      </c>
      <c r="C18" s="5">
        <v>25</v>
      </c>
      <c r="D18" s="6">
        <f>B18*C18</f>
        <v>1490</v>
      </c>
      <c r="E18" s="21" t="s">
        <v>128</v>
      </c>
      <c r="F18" s="3" t="s">
        <v>80</v>
      </c>
      <c r="G18" s="21" t="s">
        <v>134</v>
      </c>
    </row>
    <row r="19" spans="1:7" x14ac:dyDescent="0.25">
      <c r="A19" s="14" t="s">
        <v>79</v>
      </c>
      <c r="B19" s="4">
        <v>49.35</v>
      </c>
      <c r="C19" s="5">
        <v>50</v>
      </c>
      <c r="D19" s="6">
        <f>(C19*B19)</f>
        <v>2467.5</v>
      </c>
      <c r="E19" s="21" t="s">
        <v>128</v>
      </c>
      <c r="F19" s="3" t="s">
        <v>78</v>
      </c>
      <c r="G19" s="21" t="s">
        <v>134</v>
      </c>
    </row>
    <row r="20" spans="1:7" x14ac:dyDescent="0.25">
      <c r="A20" s="14" t="s">
        <v>77</v>
      </c>
      <c r="B20" s="4">
        <v>62.1</v>
      </c>
      <c r="C20" s="5">
        <v>25</v>
      </c>
      <c r="D20" s="6">
        <f>(C20*B20)</f>
        <v>1552.5</v>
      </c>
      <c r="E20" s="21" t="s">
        <v>128</v>
      </c>
      <c r="F20" s="3" t="s">
        <v>76</v>
      </c>
      <c r="G20" s="21" t="s">
        <v>134</v>
      </c>
    </row>
    <row r="21" spans="1:7" x14ac:dyDescent="0.25">
      <c r="A21" s="14" t="s">
        <v>75</v>
      </c>
      <c r="B21" s="4">
        <v>29.58</v>
      </c>
      <c r="C21" s="5">
        <v>30</v>
      </c>
      <c r="D21" s="6">
        <f>(C21*B21)</f>
        <v>887.4</v>
      </c>
      <c r="E21" s="21" t="s">
        <v>128</v>
      </c>
      <c r="F21" s="3" t="s">
        <v>74</v>
      </c>
      <c r="G21" s="21" t="s">
        <v>134</v>
      </c>
    </row>
    <row r="22" spans="1:7" x14ac:dyDescent="0.25">
      <c r="A22" s="14" t="s">
        <v>73</v>
      </c>
      <c r="B22" s="4">
        <v>92.5</v>
      </c>
      <c r="C22" s="5">
        <v>15</v>
      </c>
      <c r="D22" s="6">
        <f>(C22*B22)</f>
        <v>1387.5</v>
      </c>
      <c r="E22" s="21" t="s">
        <v>128</v>
      </c>
      <c r="F22" s="3" t="s">
        <v>72</v>
      </c>
      <c r="G22" s="21" t="s">
        <v>134</v>
      </c>
    </row>
    <row r="23" spans="1:7" x14ac:dyDescent="0.25">
      <c r="A23" s="14" t="s">
        <v>71</v>
      </c>
      <c r="B23" s="4">
        <v>24.94</v>
      </c>
      <c r="C23" s="5">
        <v>75</v>
      </c>
      <c r="D23" s="6">
        <v>1870.32</v>
      </c>
      <c r="E23" s="21" t="s">
        <v>128</v>
      </c>
      <c r="F23" s="3" t="s">
        <v>70</v>
      </c>
      <c r="G23" s="21" t="s">
        <v>136</v>
      </c>
    </row>
    <row r="24" spans="1:7" x14ac:dyDescent="0.25">
      <c r="A24" s="14" t="s">
        <v>69</v>
      </c>
      <c r="B24" s="4">
        <v>138.57</v>
      </c>
      <c r="C24" s="5">
        <v>20</v>
      </c>
      <c r="D24" s="6">
        <v>2771.45</v>
      </c>
      <c r="E24" s="21" t="s">
        <v>128</v>
      </c>
      <c r="F24" s="3" t="s">
        <v>68</v>
      </c>
      <c r="G24" s="21" t="s">
        <v>136</v>
      </c>
    </row>
    <row r="25" spans="1:7" x14ac:dyDescent="0.25">
      <c r="A25" s="15" t="s">
        <v>67</v>
      </c>
      <c r="B25" s="4">
        <v>44.65</v>
      </c>
      <c r="C25" s="5">
        <v>25</v>
      </c>
      <c r="D25" s="6">
        <v>1116.24</v>
      </c>
      <c r="E25" s="21" t="s">
        <v>128</v>
      </c>
      <c r="F25" s="3" t="s">
        <v>66</v>
      </c>
      <c r="G25" s="21" t="s">
        <v>136</v>
      </c>
    </row>
    <row r="26" spans="1:7" x14ac:dyDescent="0.25">
      <c r="A26" s="16" t="s">
        <v>65</v>
      </c>
      <c r="B26" s="7">
        <v>47.43</v>
      </c>
      <c r="C26" s="8">
        <v>25</v>
      </c>
      <c r="D26" s="8">
        <v>1180.8</v>
      </c>
      <c r="E26" s="21" t="s">
        <v>128</v>
      </c>
      <c r="F26" s="3" t="s">
        <v>64</v>
      </c>
      <c r="G26" s="21" t="s">
        <v>136</v>
      </c>
    </row>
    <row r="27" spans="1:7" x14ac:dyDescent="0.25">
      <c r="A27" s="16" t="s">
        <v>63</v>
      </c>
      <c r="B27" s="7">
        <v>48.78</v>
      </c>
      <c r="C27" s="8">
        <v>44</v>
      </c>
      <c r="D27" s="8">
        <f>C27*B27</f>
        <v>2146.3200000000002</v>
      </c>
      <c r="E27" s="21" t="s">
        <v>128</v>
      </c>
      <c r="F27" s="3" t="s">
        <v>62</v>
      </c>
      <c r="G27" s="21" t="s">
        <v>136</v>
      </c>
    </row>
    <row r="28" spans="1:7" x14ac:dyDescent="0.25">
      <c r="A28" s="16" t="s">
        <v>61</v>
      </c>
      <c r="B28" s="7">
        <v>91.07</v>
      </c>
      <c r="C28" s="8">
        <v>30</v>
      </c>
      <c r="D28" s="8">
        <f>B28*C28</f>
        <v>2732.1</v>
      </c>
      <c r="E28" s="21" t="s">
        <v>128</v>
      </c>
      <c r="F28" s="3" t="s">
        <v>60</v>
      </c>
      <c r="G28" s="21" t="s">
        <v>134</v>
      </c>
    </row>
    <row r="29" spans="1:7" x14ac:dyDescent="0.25">
      <c r="A29" s="16" t="s">
        <v>59</v>
      </c>
      <c r="B29" s="9">
        <v>13.72</v>
      </c>
      <c r="C29" s="10">
        <v>200</v>
      </c>
      <c r="D29" s="10">
        <f>C29*B29</f>
        <v>2744</v>
      </c>
      <c r="E29" s="21" t="s">
        <v>128</v>
      </c>
      <c r="F29" s="3" t="s">
        <v>58</v>
      </c>
      <c r="G29" s="21" t="s">
        <v>134</v>
      </c>
    </row>
    <row r="30" spans="1:7" x14ac:dyDescent="0.25">
      <c r="A30" s="16" t="s">
        <v>57</v>
      </c>
      <c r="B30" s="9">
        <v>8.23</v>
      </c>
      <c r="C30" s="10">
        <v>205</v>
      </c>
      <c r="D30" s="10">
        <v>1686.24</v>
      </c>
      <c r="E30" s="21" t="s">
        <v>128</v>
      </c>
      <c r="F30" s="3" t="s">
        <v>56</v>
      </c>
      <c r="G30" s="21" t="s">
        <v>134</v>
      </c>
    </row>
    <row r="31" spans="1:7" x14ac:dyDescent="0.25">
      <c r="A31" s="17" t="s">
        <v>55</v>
      </c>
      <c r="B31" s="9">
        <v>16.094999999999999</v>
      </c>
      <c r="C31" s="10">
        <v>50</v>
      </c>
      <c r="D31" s="10">
        <f>C31*B31</f>
        <v>804.75</v>
      </c>
      <c r="E31" s="21" t="s">
        <v>128</v>
      </c>
      <c r="F31" s="3" t="s">
        <v>54</v>
      </c>
      <c r="G31" s="21" t="s">
        <v>134</v>
      </c>
    </row>
    <row r="32" spans="1:7" x14ac:dyDescent="0.25">
      <c r="A32" s="17" t="s">
        <v>53</v>
      </c>
      <c r="B32" s="9">
        <v>14.14</v>
      </c>
      <c r="C32" s="10">
        <v>75</v>
      </c>
      <c r="D32" s="10">
        <f>C32*B32</f>
        <v>1060.5</v>
      </c>
      <c r="E32" s="21" t="s">
        <v>128</v>
      </c>
      <c r="F32" s="3" t="s">
        <v>52</v>
      </c>
      <c r="G32" s="21" t="s">
        <v>134</v>
      </c>
    </row>
    <row r="33" spans="1:7" x14ac:dyDescent="0.25">
      <c r="A33" s="12" t="s">
        <v>51</v>
      </c>
      <c r="B33" s="9">
        <v>2.46</v>
      </c>
      <c r="C33" s="10">
        <v>300</v>
      </c>
      <c r="D33" s="10">
        <v>738</v>
      </c>
      <c r="E33" s="21" t="s">
        <v>128</v>
      </c>
      <c r="F33" s="3" t="s">
        <v>50</v>
      </c>
      <c r="G33" s="21" t="s">
        <v>134</v>
      </c>
    </row>
    <row r="34" spans="1:7" x14ac:dyDescent="0.25">
      <c r="A34" s="16" t="s">
        <v>49</v>
      </c>
      <c r="B34" s="7">
        <f>D34/C34</f>
        <v>151.96549999999999</v>
      </c>
      <c r="C34" s="8">
        <v>20</v>
      </c>
      <c r="D34" s="8">
        <v>3039.31</v>
      </c>
      <c r="E34" s="21" t="s">
        <v>128</v>
      </c>
      <c r="F34" s="3" t="s">
        <v>48</v>
      </c>
      <c r="G34" s="21" t="s">
        <v>136</v>
      </c>
    </row>
    <row r="35" spans="1:7" x14ac:dyDescent="0.25">
      <c r="A35" s="16" t="s">
        <v>47</v>
      </c>
      <c r="B35" s="7">
        <v>60.78</v>
      </c>
      <c r="C35" s="8">
        <v>20</v>
      </c>
      <c r="D35" s="8">
        <v>1215.26</v>
      </c>
      <c r="E35" s="21" t="s">
        <v>128</v>
      </c>
      <c r="F35" s="3" t="s">
        <v>46</v>
      </c>
      <c r="G35" s="21" t="s">
        <v>136</v>
      </c>
    </row>
    <row r="36" spans="1:7" x14ac:dyDescent="0.25">
      <c r="A36" s="16" t="s">
        <v>45</v>
      </c>
      <c r="B36" s="7">
        <v>104.61</v>
      </c>
      <c r="C36" s="8">
        <v>15</v>
      </c>
      <c r="D36" s="8">
        <f>B36*C36</f>
        <v>1569.15</v>
      </c>
      <c r="E36" s="21" t="s">
        <v>128</v>
      </c>
      <c r="F36" s="3" t="s">
        <v>44</v>
      </c>
      <c r="G36" s="21" t="s">
        <v>136</v>
      </c>
    </row>
    <row r="37" spans="1:7" x14ac:dyDescent="0.25">
      <c r="A37" s="16" t="s">
        <v>43</v>
      </c>
      <c r="B37" s="7">
        <v>43.22</v>
      </c>
      <c r="C37" s="8">
        <v>50</v>
      </c>
      <c r="D37" s="8">
        <v>2160.75</v>
      </c>
      <c r="E37" s="21" t="s">
        <v>128</v>
      </c>
      <c r="F37" s="3" t="s">
        <v>42</v>
      </c>
      <c r="G37" s="21" t="s">
        <v>136</v>
      </c>
    </row>
    <row r="38" spans="1:7" x14ac:dyDescent="0.25">
      <c r="A38" s="17" t="s">
        <v>41</v>
      </c>
      <c r="B38" s="7">
        <v>51.86</v>
      </c>
      <c r="C38" s="8">
        <v>25</v>
      </c>
      <c r="D38" s="8">
        <v>1296.5899999999999</v>
      </c>
      <c r="E38" s="21" t="s">
        <v>128</v>
      </c>
      <c r="F38" s="3" t="s">
        <v>40</v>
      </c>
      <c r="G38" s="21" t="s">
        <v>136</v>
      </c>
    </row>
    <row r="39" spans="1:7" x14ac:dyDescent="0.25">
      <c r="A39" s="16" t="s">
        <v>39</v>
      </c>
      <c r="B39" s="7">
        <v>62.16</v>
      </c>
      <c r="C39" s="8">
        <v>15</v>
      </c>
      <c r="D39" s="8">
        <f>C39*B39</f>
        <v>932.4</v>
      </c>
      <c r="E39" s="21" t="s">
        <v>128</v>
      </c>
      <c r="F39" s="3" t="s">
        <v>38</v>
      </c>
      <c r="G39" s="21" t="s">
        <v>136</v>
      </c>
    </row>
    <row r="40" spans="1:7" x14ac:dyDescent="0.25">
      <c r="A40" s="12" t="s">
        <v>37</v>
      </c>
      <c r="B40" s="7">
        <v>72.77</v>
      </c>
      <c r="C40" s="8">
        <v>10</v>
      </c>
      <c r="D40" s="8">
        <f>C40*B40</f>
        <v>727.69999999999993</v>
      </c>
      <c r="E40" s="21" t="s">
        <v>128</v>
      </c>
      <c r="F40" s="3" t="s">
        <v>36</v>
      </c>
      <c r="G40" s="21" t="s">
        <v>136</v>
      </c>
    </row>
    <row r="41" spans="1:7" x14ac:dyDescent="0.25">
      <c r="A41" s="16" t="s">
        <v>35</v>
      </c>
      <c r="B41" s="7">
        <v>35.36</v>
      </c>
      <c r="C41" s="8">
        <v>50</v>
      </c>
      <c r="D41" s="8">
        <f>C41*B41</f>
        <v>1768</v>
      </c>
      <c r="E41" s="21" t="s">
        <v>128</v>
      </c>
      <c r="F41" s="3" t="s">
        <v>34</v>
      </c>
      <c r="G41" s="21" t="s">
        <v>136</v>
      </c>
    </row>
    <row r="42" spans="1:7" x14ac:dyDescent="0.25">
      <c r="A42" s="16" t="s">
        <v>33</v>
      </c>
      <c r="B42" s="7">
        <v>37.47</v>
      </c>
      <c r="C42" s="8">
        <v>30</v>
      </c>
      <c r="D42" s="8">
        <f>C42*B42</f>
        <v>1124.0999999999999</v>
      </c>
      <c r="E42" s="21" t="s">
        <v>128</v>
      </c>
      <c r="F42" s="3" t="s">
        <v>32</v>
      </c>
      <c r="G42" s="21" t="s">
        <v>136</v>
      </c>
    </row>
    <row r="43" spans="1:7" x14ac:dyDescent="0.25">
      <c r="A43" s="16" t="s">
        <v>31</v>
      </c>
      <c r="B43" s="7">
        <v>107.96</v>
      </c>
      <c r="C43" s="8">
        <v>10</v>
      </c>
      <c r="D43" s="8">
        <f>C43*B43</f>
        <v>1079.5999999999999</v>
      </c>
      <c r="E43" s="21" t="s">
        <v>128</v>
      </c>
      <c r="F43" s="3" t="s">
        <v>30</v>
      </c>
      <c r="G43" s="21" t="s">
        <v>136</v>
      </c>
    </row>
    <row r="44" spans="1:7" x14ac:dyDescent="0.25">
      <c r="A44" s="16" t="s">
        <v>29</v>
      </c>
      <c r="B44" s="7">
        <v>221.95</v>
      </c>
      <c r="C44" s="8">
        <v>5</v>
      </c>
      <c r="D44" s="8">
        <v>1109.77</v>
      </c>
      <c r="E44" s="21" t="s">
        <v>128</v>
      </c>
      <c r="F44" s="3" t="s">
        <v>28</v>
      </c>
      <c r="G44" s="21" t="s">
        <v>136</v>
      </c>
    </row>
    <row r="45" spans="1:7" x14ac:dyDescent="0.25">
      <c r="A45" s="17" t="s">
        <v>27</v>
      </c>
      <c r="B45" s="7">
        <v>99.48</v>
      </c>
      <c r="C45" s="8">
        <v>10</v>
      </c>
      <c r="D45" s="8">
        <f>C45*B45</f>
        <v>994.80000000000007</v>
      </c>
      <c r="E45" s="21" t="s">
        <v>128</v>
      </c>
      <c r="F45" s="3" t="s">
        <v>26</v>
      </c>
      <c r="G45" s="21" t="s">
        <v>136</v>
      </c>
    </row>
    <row r="46" spans="1:7" x14ac:dyDescent="0.25">
      <c r="A46" s="17" t="s">
        <v>25</v>
      </c>
      <c r="B46" s="7">
        <v>114.09</v>
      </c>
      <c r="C46" s="8">
        <v>10</v>
      </c>
      <c r="D46" s="8">
        <f>C46*B46</f>
        <v>1140.9000000000001</v>
      </c>
      <c r="E46" s="21" t="s">
        <v>128</v>
      </c>
      <c r="F46" s="3" t="s">
        <v>24</v>
      </c>
      <c r="G46" s="21" t="s">
        <v>136</v>
      </c>
    </row>
    <row r="47" spans="1:7" x14ac:dyDescent="0.25">
      <c r="A47" s="17" t="s">
        <v>23</v>
      </c>
      <c r="B47" s="7">
        <v>105.73</v>
      </c>
      <c r="C47" s="8">
        <v>25</v>
      </c>
      <c r="D47" s="8">
        <v>2643.32</v>
      </c>
      <c r="E47" s="21" t="s">
        <v>128</v>
      </c>
      <c r="F47" s="3" t="s">
        <v>22</v>
      </c>
      <c r="G47" s="21" t="s">
        <v>136</v>
      </c>
    </row>
    <row r="48" spans="1:7" x14ac:dyDescent="0.25">
      <c r="A48" s="16" t="s">
        <v>21</v>
      </c>
      <c r="B48" s="7">
        <v>88.34</v>
      </c>
      <c r="C48" s="8">
        <v>15</v>
      </c>
      <c r="D48" s="8">
        <f>C48*B48</f>
        <v>1325.1000000000001</v>
      </c>
      <c r="E48" s="21" t="s">
        <v>128</v>
      </c>
      <c r="F48" s="3" t="s">
        <v>20</v>
      </c>
      <c r="G48" s="21" t="s">
        <v>136</v>
      </c>
    </row>
    <row r="49" spans="1:7" x14ac:dyDescent="0.25">
      <c r="A49" s="16" t="s">
        <v>19</v>
      </c>
      <c r="B49" s="7">
        <v>88.69</v>
      </c>
      <c r="C49" s="8">
        <v>10</v>
      </c>
      <c r="D49" s="8">
        <f>C49*B49</f>
        <v>886.9</v>
      </c>
      <c r="E49" s="21" t="s">
        <v>128</v>
      </c>
      <c r="F49" s="3" t="s">
        <v>18</v>
      </c>
      <c r="G49" s="21" t="s">
        <v>136</v>
      </c>
    </row>
    <row r="50" spans="1:7" x14ac:dyDescent="0.25">
      <c r="A50" s="16" t="s">
        <v>17</v>
      </c>
      <c r="B50" s="7">
        <v>29.06</v>
      </c>
      <c r="C50" s="8">
        <v>50</v>
      </c>
      <c r="D50" s="8">
        <f>C50*B50</f>
        <v>1453</v>
      </c>
      <c r="E50" s="21" t="s">
        <v>128</v>
      </c>
      <c r="F50" s="3" t="s">
        <v>16</v>
      </c>
      <c r="G50" s="21" t="s">
        <v>136</v>
      </c>
    </row>
    <row r="51" spans="1:7" x14ac:dyDescent="0.25">
      <c r="A51" s="16" t="s">
        <v>15</v>
      </c>
      <c r="B51" s="7">
        <v>31.66</v>
      </c>
      <c r="C51" s="8">
        <v>30</v>
      </c>
      <c r="D51" s="8">
        <f>C51*B51</f>
        <v>949.8</v>
      </c>
      <c r="E51" s="21" t="s">
        <v>128</v>
      </c>
      <c r="F51" s="3" t="s">
        <v>14</v>
      </c>
      <c r="G51" s="21" t="s">
        <v>136</v>
      </c>
    </row>
    <row r="52" spans="1:7" x14ac:dyDescent="0.25">
      <c r="A52" s="12" t="s">
        <v>13</v>
      </c>
      <c r="B52" s="7">
        <v>23.797999999999998</v>
      </c>
      <c r="C52" s="8">
        <v>50</v>
      </c>
      <c r="D52" s="8">
        <v>1189.92</v>
      </c>
      <c r="E52" s="21" t="s">
        <v>128</v>
      </c>
      <c r="F52" s="3" t="s">
        <v>12</v>
      </c>
      <c r="G52" s="21" t="s">
        <v>136</v>
      </c>
    </row>
    <row r="53" spans="1:7" x14ac:dyDescent="0.25">
      <c r="A53" s="16" t="s">
        <v>11</v>
      </c>
      <c r="B53" s="7">
        <v>51.23</v>
      </c>
      <c r="C53" s="8">
        <v>25</v>
      </c>
      <c r="D53" s="8">
        <v>1280.78</v>
      </c>
      <c r="E53" s="21" t="s">
        <v>128</v>
      </c>
      <c r="F53" s="3" t="s">
        <v>10</v>
      </c>
      <c r="G53" s="21" t="s">
        <v>136</v>
      </c>
    </row>
    <row r="54" spans="1:7" x14ac:dyDescent="0.25">
      <c r="A54" s="16" t="s">
        <v>9</v>
      </c>
      <c r="B54" s="7">
        <v>112.38</v>
      </c>
      <c r="C54" s="8">
        <v>20</v>
      </c>
      <c r="D54" s="8">
        <v>2247.65</v>
      </c>
      <c r="E54" s="21" t="s">
        <v>128</v>
      </c>
      <c r="F54" s="3" t="s">
        <v>8</v>
      </c>
      <c r="G54" s="21" t="s">
        <v>136</v>
      </c>
    </row>
    <row r="55" spans="1:7" x14ac:dyDescent="0.25">
      <c r="A55" s="16" t="s">
        <v>7</v>
      </c>
      <c r="B55" s="7">
        <v>46.87</v>
      </c>
      <c r="C55" s="8">
        <v>50</v>
      </c>
      <c r="D55" s="8">
        <f>C55*B55</f>
        <v>2343.5</v>
      </c>
      <c r="E55" s="21" t="s">
        <v>128</v>
      </c>
      <c r="F55" s="3" t="s">
        <v>6</v>
      </c>
      <c r="G55" s="21" t="s">
        <v>136</v>
      </c>
    </row>
    <row r="56" spans="1:7" x14ac:dyDescent="0.25">
      <c r="A56" s="16" t="s">
        <v>5</v>
      </c>
      <c r="B56" s="7">
        <v>31.47</v>
      </c>
      <c r="C56" s="8">
        <v>100</v>
      </c>
      <c r="D56" s="8">
        <f>C56*B56</f>
        <v>3147</v>
      </c>
      <c r="E56" s="21" t="s">
        <v>128</v>
      </c>
      <c r="F56" s="3" t="s">
        <v>4</v>
      </c>
      <c r="G56" s="21" t="s">
        <v>136</v>
      </c>
    </row>
    <row r="57" spans="1:7" x14ac:dyDescent="0.25">
      <c r="A57" s="18" t="s">
        <v>3</v>
      </c>
      <c r="B57" s="7">
        <v>20.75</v>
      </c>
      <c r="C57" s="8">
        <v>50</v>
      </c>
      <c r="D57" s="8">
        <f>C57*B57</f>
        <v>1037.5</v>
      </c>
      <c r="E57" s="8" t="s">
        <v>122</v>
      </c>
      <c r="F57" s="19" t="s">
        <v>117</v>
      </c>
      <c r="G57" s="21" t="s">
        <v>134</v>
      </c>
    </row>
    <row r="58" spans="1:7" x14ac:dyDescent="0.25">
      <c r="A58" s="17" t="s">
        <v>2</v>
      </c>
      <c r="B58" s="7">
        <v>21.99</v>
      </c>
      <c r="C58" s="8">
        <v>100</v>
      </c>
      <c r="D58" s="8">
        <f>C58*B58</f>
        <v>2199</v>
      </c>
      <c r="E58" s="8" t="s">
        <v>122</v>
      </c>
      <c r="F58" s="19" t="s">
        <v>119</v>
      </c>
      <c r="G58" s="21" t="s">
        <v>134</v>
      </c>
    </row>
    <row r="59" spans="1:7" x14ac:dyDescent="0.25">
      <c r="A59" s="17" t="s">
        <v>1</v>
      </c>
      <c r="B59" s="7">
        <v>22.97</v>
      </c>
      <c r="C59" s="8">
        <v>100</v>
      </c>
      <c r="D59" s="8">
        <v>2297.5</v>
      </c>
      <c r="E59" s="8" t="s">
        <v>122</v>
      </c>
      <c r="F59" s="19" t="s">
        <v>118</v>
      </c>
      <c r="G59" s="21" t="s">
        <v>134</v>
      </c>
    </row>
    <row r="60" spans="1:7" x14ac:dyDescent="0.25">
      <c r="A60" s="17" t="s">
        <v>129</v>
      </c>
      <c r="B60" s="7">
        <v>421.76</v>
      </c>
      <c r="C60" s="8">
        <v>14.058</v>
      </c>
      <c r="D60" s="8">
        <v>5000</v>
      </c>
      <c r="E60" s="8" t="s">
        <v>127</v>
      </c>
      <c r="F60" s="19" t="s">
        <v>123</v>
      </c>
      <c r="G60" s="21" t="s">
        <v>134</v>
      </c>
    </row>
    <row r="61" spans="1:7" x14ac:dyDescent="0.25">
      <c r="A61" s="17" t="s">
        <v>130</v>
      </c>
      <c r="B61" s="7">
        <v>26.3</v>
      </c>
      <c r="C61" s="8">
        <v>225.45599999999999</v>
      </c>
      <c r="D61" s="8">
        <v>5000</v>
      </c>
      <c r="E61" s="8" t="s">
        <v>127</v>
      </c>
      <c r="F61" s="19" t="s">
        <v>124</v>
      </c>
      <c r="G61" s="21" t="s">
        <v>136</v>
      </c>
    </row>
    <row r="62" spans="1:7" x14ac:dyDescent="0.25">
      <c r="A62" s="17" t="s">
        <v>131</v>
      </c>
      <c r="B62" s="7">
        <v>163.80000000000001</v>
      </c>
      <c r="C62" s="8">
        <v>30.524999999999999</v>
      </c>
      <c r="D62" s="8">
        <v>5000</v>
      </c>
      <c r="E62" s="8" t="s">
        <v>127</v>
      </c>
      <c r="F62" s="19" t="s">
        <v>125</v>
      </c>
      <c r="G62" s="21" t="s">
        <v>134</v>
      </c>
    </row>
    <row r="63" spans="1:7" x14ac:dyDescent="0.25">
      <c r="A63" s="17" t="s">
        <v>132</v>
      </c>
      <c r="B63" s="7">
        <v>34.107999999999997</v>
      </c>
      <c r="C63" s="8">
        <v>146.59</v>
      </c>
      <c r="D63" s="8">
        <v>5000</v>
      </c>
      <c r="E63" s="8" t="s">
        <v>127</v>
      </c>
      <c r="F63" s="19" t="s">
        <v>126</v>
      </c>
      <c r="G63" s="21" t="s">
        <v>134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CARTERA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iClon Z</dc:creator>
  <cp:lastModifiedBy>iClon Z</cp:lastModifiedBy>
  <dcterms:created xsi:type="dcterms:W3CDTF">2026-02-14T11:44:40Z</dcterms:created>
  <dcterms:modified xsi:type="dcterms:W3CDTF">2026-02-22T12:51:11Z</dcterms:modified>
</cp:coreProperties>
</file>